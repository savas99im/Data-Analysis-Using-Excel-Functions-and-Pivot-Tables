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vas\Desktop\"/>
    </mc:Choice>
  </mc:AlternateContent>
  <xr:revisionPtr revIDLastSave="0" documentId="13_ncr:1_{D6F7B067-9A9D-477B-99D1-6329BA0F7317}" xr6:coauthVersionLast="45" xr6:coauthVersionMax="47" xr10:uidLastSave="{00000000-0000-0000-0000-000000000000}"/>
  <bookViews>
    <workbookView xWindow="2850" yWindow="2850" windowWidth="21600" windowHeight="11385" activeTab="1" xr2:uid="{00000000-000D-0000-FFFF-FFFF00000000}"/>
  </bookViews>
  <sheets>
    <sheet name="Dataset" sheetId="1" r:id="rId1"/>
    <sheet name="ex2" sheetId="2" r:id="rId2"/>
    <sheet name="Pivot Table 1" sheetId="3" r:id="rId3"/>
    <sheet name="Pivot Table 2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2" l="1"/>
  <c r="B38" i="2"/>
  <c r="B35" i="2"/>
  <c r="B32" i="2"/>
  <c r="B24" i="2"/>
  <c r="B21" i="2"/>
  <c r="B18" i="2"/>
  <c r="B10" i="2"/>
  <c r="B7" i="2"/>
</calcChain>
</file>

<file path=xl/sharedStrings.xml><?xml version="1.0" encoding="utf-8"?>
<sst xmlns="http://schemas.openxmlformats.org/spreadsheetml/2006/main" count="13305" uniqueCount="79">
  <si>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</si>
  <si>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</si>
  <si>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</si>
  <si>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</si>
  <si>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</si>
  <si>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</si>
  <si>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</si>
  <si>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</si>
  <si>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</si>
  <si>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</si>
  <si>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</si>
  <si>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</si>
  <si>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</si>
  <si>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</si>
  <si>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</si>
  <si>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</si>
  <si>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</si>
  <si>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</si>
  <si>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</si>
  <si>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</si>
  <si>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</si>
  <si>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</si>
  <si>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</si>
  <si>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</si>
  <si>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</si>
  <si>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</si>
  <si>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</si>
  <si>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</si>
  <si>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</si>
  <si>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</si>
  <si>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</si>
  <si>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</si>
  <si>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</si>
  <si>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</si>
  <si>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</si>
  <si>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</si>
  <si>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</si>
  <si>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</si>
  <si>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</si>
  <si>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</si>
  <si>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</si>
  <si>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</si>
  <si>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</si>
  <si>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</si>
  <si>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</si>
  <si>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</si>
  <si>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</si>
  <si>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</si>
  <si>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</si>
  <si>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</si>
  <si>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</si>
  <si>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</si>
  <si>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</si>
  <si>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</si>
  <si>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</si>
  <si>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</si>
  <si>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</si>
  <si>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</si>
  <si>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</si>
  <si>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</si>
  <si>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</si>
  <si>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</si>
  <si>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1. Basic Data Exploration</t>
  </si>
  <si>
    <t>1.1: Use the COUNTA function to find the number of employees in the dataset.</t>
  </si>
  <si>
    <t>1.2: Use the SUM function to find the total monthly income of all employees.</t>
  </si>
  <si>
    <t>1.3: Use the AVERAGE function to find the average age of employees.</t>
  </si>
  <si>
    <t>2: Conditional Data Exploration</t>
  </si>
  <si>
    <t>2.1: Use the COUNTIF function to find the number of employees who have left the company.</t>
  </si>
  <si>
    <t>2.2: Use the SUMIF function to find the total monthly income of employees in the Sales department.</t>
  </si>
  <si>
    <t>2.3: Use the AVERAGEIF function to find the average age of employees who are married.</t>
  </si>
  <si>
    <t>3: Advanced Data Exploration</t>
  </si>
  <si>
    <t>3.1: Use the COUNTIFS function to find the number of employees who have left the company and are from the Research &amp; Development department.</t>
  </si>
  <si>
    <t>3.2: Use the SUMIFS function to find the total monthly income of employees who are single and have a Job Satisfaction level of 4.</t>
  </si>
  <si>
    <t>3.3: Use the AVERAGEIFS function to find the average age of employees who have a bachelor's degree and are in a managerial role.</t>
  </si>
  <si>
    <t>Row Labels</t>
  </si>
  <si>
    <t>Grand Total</t>
  </si>
  <si>
    <t>Average of MonthlyIncome</t>
  </si>
  <si>
    <t>Marital Status</t>
  </si>
  <si>
    <t>Count of EmployeeNumber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</si>
</sst>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3" xfId="0" applyFill="1" applyBorder="1"/>
    <xf numFmtId="0" fontId="2" fillId="3" borderId="2" xfId="0" applyFont="1" applyFill="1" applyBorder="1"/>
    <xf numFmtId="0" fontId="2" fillId="3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wrapText="1"/>
    </xf>
    <xf numFmtId="3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Κανονικό" xfId="0" builtinId="0"/>
  </cellStyles>
  <dxfs count="2">
    <dxf>
      <numFmt numFmtId="164" formatCode="_(* #,##0_);_(* \(#,##0\);_(* &quot;-&quot;??_);_(@_)"/>
    </dxf>
    <dxf>
      <numFmt numFmtId="2" formatCode="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ΟΣ ΝΙΚΟΛΟΠΟΥΛΟΣ" refreshedDate="45201.557314814818" createdVersion="8" refreshedVersion="8" minRefreshableVersion="3" recordCount="1470" xr:uid="{024CF312-8648-479A-BA4C-35F13F2320BA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x v="0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x v="1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x v="0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x v="1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x v="1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x v="0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x v="1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x v="2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x v="0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x v="1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x v="1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x v="0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x v="2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x v="2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x v="0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x v="2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x v="2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x v="2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x v="1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x v="0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x v="2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x v="0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x v="0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x v="0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x v="0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x v="2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x v="0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x v="1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x v="1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x v="0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x v="0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x v="1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x v="0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x v="1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x v="1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x v="2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x v="1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x v="1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x v="1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x v="1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x v="2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x v="2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x v="0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x v="0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x v="0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x v="1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x v="0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x v="1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x v="0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x v="1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x v="0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x v="0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x v="2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x v="1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x v="1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x v="0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x v="1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x v="1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x v="2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x v="2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x v="1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x v="0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x v="2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x v="0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x v="2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x v="2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x v="0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x v="2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x v="1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x v="1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x v="0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x v="1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x v="0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x v="1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x v="1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x v="0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x v="0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x v="1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x v="0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x v="2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x v="1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x v="0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x v="1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x v="2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x v="1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x v="0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x v="2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x v="1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x v="1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x v="0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x v="1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x v="0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x v="2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x v="1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x v="0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x v="1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x v="1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x v="1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x v="0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x v="1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x v="2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x v="0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x v="0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x v="0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x v="2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x v="1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x v="1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x v="0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x v="1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x v="0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x v="0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x v="0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x v="0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x v="1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x v="2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x v="0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x v="0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x v="1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x v="2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x v="1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x v="2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x v="1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x v="1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x v="0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x v="1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x v="1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x v="1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x v="0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x v="1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x v="1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x v="0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x v="0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x v="1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x v="2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x v="1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x v="2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x v="0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x v="1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x v="1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x v="1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x v="0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x v="0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x v="0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x v="0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x v="2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x v="2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x v="0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x v="2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x v="1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x v="0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x v="2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x v="1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x v="1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x v="2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x v="0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x v="1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x v="1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x v="1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x v="1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x v="1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x v="1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x v="2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x v="1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x v="2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x v="2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x v="0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x v="2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x v="1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x v="0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x v="0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x v="1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x v="0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x v="0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x v="2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x v="2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x v="2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x v="0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x v="0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x v="2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x v="0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x v="1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x v="0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x v="0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x v="1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x v="2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x v="1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x v="1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x v="0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x v="1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x v="0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x v="1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x v="0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x v="1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x v="2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x v="1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x v="1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x v="0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x v="2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x v="1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x v="1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x v="1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x v="2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x v="2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x v="1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x v="1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x v="1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x v="2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x v="0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x v="1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x v="2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x v="1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x v="0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x v="0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x v="1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x v="0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x v="0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x v="0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x v="0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x v="0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x v="1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x v="0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x v="1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x v="2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x v="2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x v="1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x v="1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x v="2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x v="1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x v="0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x v="0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x v="0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x v="1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x v="1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x v="2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x v="1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x v="1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x v="1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x v="0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x v="1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x v="0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x v="2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x v="1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x v="2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x v="2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x v="1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x v="2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x v="1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x v="1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x v="1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x v="1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x v="2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x v="0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x v="0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x v="0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x v="2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x v="1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x v="2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x v="2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x v="1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x v="0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x v="1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x v="1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x v="0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x v="1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x v="0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x v="1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x v="1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x v="2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x v="1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x v="1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x v="0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x v="1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x v="1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x v="1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x v="0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x v="2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x v="2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x v="2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x v="2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x v="2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x v="1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x v="1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x v="0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x v="1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x v="1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x v="0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x v="2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x v="2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x v="2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x v="0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x v="0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x v="0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x v="2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x v="0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x v="1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x v="1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x v="0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x v="1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x v="1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x v="2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x v="0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x v="0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x v="0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x v="1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x v="2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x v="1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x v="1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x v="1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x v="2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x v="1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x v="1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x v="2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x v="2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x v="1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x v="1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x v="0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x v="0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x v="1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x v="0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x v="1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x v="0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x v="2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x v="0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x v="1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x v="1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x v="1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x v="1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x v="1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x v="0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x v="1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x v="2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x v="1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x v="0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x v="1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x v="1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x v="1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x v="1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x v="0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x v="2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x v="1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x v="2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x v="2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x v="0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x v="2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x v="0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x v="2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x v="0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x v="0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x v="0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x v="1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x v="2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x v="1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x v="1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x v="2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x v="1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x v="1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x v="0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x v="0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x v="0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x v="1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x v="1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x v="1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x v="0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x v="0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x v="1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x v="1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x v="0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x v="0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x v="1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x v="0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x v="0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x v="0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x v="0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x v="2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x v="0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x v="0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x v="1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x v="1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x v="0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x v="0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x v="2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x v="1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x v="0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x v="1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x v="1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x v="0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x v="2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x v="2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x v="2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x v="0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x v="2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x v="1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x v="1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x v="1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x v="1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x v="1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x v="2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x v="0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x v="1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x v="1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x v="2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x v="1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x v="0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x v="1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x v="2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x v="1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x v="1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x v="1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x v="1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x v="2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x v="0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x v="1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x v="2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x v="1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x v="0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x v="2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x v="1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x v="1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x v="2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x v="1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x v="1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x v="1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x v="0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x v="1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x v="2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x v="1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x v="0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x v="1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x v="2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x v="1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x v="0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x v="0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x v="2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x v="1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x v="2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x v="1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x v="2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x v="0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x v="1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x v="1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x v="2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x v="1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x v="0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x v="0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x v="1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x v="0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x v="0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x v="1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x v="0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x v="1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x v="0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x v="1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x v="1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x v="2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x v="2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x v="2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x v="2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x v="0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x v="2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x v="0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x v="2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x v="0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x v="0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x v="0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x v="0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x v="1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x v="1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x v="2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x v="2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x v="1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x v="1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x v="1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x v="1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x v="2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x v="1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x v="1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x v="1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x v="1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x v="1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x v="1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x v="1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x v="1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x v="2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x v="0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x v="2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x v="2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x v="1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x v="0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x v="1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x v="2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x v="0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x v="2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x v="1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x v="0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x v="2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x v="2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x v="0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x v="1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x v="1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x v="2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x v="1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x v="2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x v="0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x v="1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x v="1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x v="1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x v="1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x v="1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x v="0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x v="2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x v="1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x v="2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x v="0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x v="0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x v="0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x v="1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x v="1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x v="1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x v="0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x v="2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x v="1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x v="2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x v="0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x v="1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x v="0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x v="0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x v="0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x v="0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x v="1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x v="0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x v="1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x v="0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x v="0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x v="1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x v="1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x v="2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x v="0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x v="2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x v="1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x v="1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x v="0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x v="1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x v="0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x v="0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x v="2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x v="2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x v="0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x v="2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x v="1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x v="0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x v="1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x v="1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x v="1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x v="0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x v="0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x v="2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x v="0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x v="2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x v="1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x v="1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x v="2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x v="1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x v="0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x v="0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x v="0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x v="0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x v="0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x v="0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x v="1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x v="0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x v="1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x v="2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x v="1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x v="0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x v="0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x v="2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x v="1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x v="2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x v="0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x v="0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x v="1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x v="1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x v="1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x v="1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x v="2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x v="1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x v="2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x v="1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x v="1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x v="1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x v="1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x v="0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x v="1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x v="1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x v="1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x v="0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x v="0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x v="1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x v="0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x v="1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x v="1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x v="0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x v="0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x v="0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x v="1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x v="2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x v="0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x v="1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x v="0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x v="1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x v="2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x v="0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x v="1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x v="1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x v="1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x v="1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x v="1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x v="0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x v="0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x v="2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x v="0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x v="1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x v="2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x v="2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x v="1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x v="2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x v="1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x v="1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x v="2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x v="2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x v="1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x v="1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x v="0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x v="1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x v="1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x v="1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x v="2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x v="2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x v="1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x v="1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x v="1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x v="1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x v="1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x v="1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x v="1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x v="2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x v="1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x v="1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x v="1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x v="0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x v="1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x v="1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x v="0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x v="2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x v="1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x v="2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x v="0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x v="2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x v="1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x v="0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x v="2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x v="2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x v="0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x v="0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x v="1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x v="0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x v="1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x v="2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x v="2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x v="1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x v="0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x v="2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x v="0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x v="0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x v="2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x v="1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x v="1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x v="1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x v="1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x v="1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x v="0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x v="1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x v="1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x v="1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x v="2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x v="0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x v="0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x v="0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x v="0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x v="0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x v="1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x v="2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x v="1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x v="1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x v="0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x v="1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x v="1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x v="1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x v="1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x v="1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x v="0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x v="2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x v="2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x v="0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x v="2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x v="0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x v="0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x v="2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x v="2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x v="0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x v="0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x v="0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x v="0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x v="2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x v="2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x v="1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x v="2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x v="1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x v="1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x v="0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x v="1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x v="1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x v="1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x v="2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x v="2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x v="2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x v="1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x v="0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x v="1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x v="2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x v="1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x v="0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x v="0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x v="1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x v="1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x v="0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x v="0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x v="0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x v="1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x v="1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x v="2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x v="1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x v="1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x v="0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x v="1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x v="1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x v="2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x v="0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x v="0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x v="1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x v="1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x v="1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x v="0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x v="0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x v="0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x v="1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x v="0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x v="2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x v="1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x v="0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x v="1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x v="2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x v="1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x v="1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x v="1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x v="1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x v="1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x v="0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x v="1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x v="2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x v="2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x v="1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x v="1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x v="0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x v="0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x v="2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x v="0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x v="0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x v="2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x v="1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x v="0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x v="1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x v="1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x v="1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x v="1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x v="1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x v="1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x v="1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x v="0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x v="1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x v="2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x v="0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x v="0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x v="2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x v="0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x v="2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x v="1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x v="2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x v="0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x v="1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x v="2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x v="0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x v="1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x v="1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x v="0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x v="1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x v="0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x v="2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x v="2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x v="2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x v="1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x v="0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x v="1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x v="2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x v="0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x v="0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x v="0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x v="0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x v="1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x v="1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x v="2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x v="1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x v="0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x v="2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x v="0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x v="1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x v="1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x v="2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x v="0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x v="0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x v="1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x v="1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x v="2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x v="1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x v="1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x v="0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x v="1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x v="0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x v="0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x v="0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x v="1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x v="0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x v="1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x v="1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x v="1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x v="1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x v="2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x v="0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x v="1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x v="0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x v="2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x v="2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x v="1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x v="0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x v="1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x v="1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x v="0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x v="0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x v="2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x v="1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x v="1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x v="1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x v="0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x v="1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x v="2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x v="2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x v="1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x v="1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x v="1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x v="1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x v="1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x v="1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x v="1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x v="2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x v="2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x v="0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x v="0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x v="2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x v="1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x v="2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x v="1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x v="0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x v="2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x v="1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x v="2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x v="0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x v="1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x v="1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x v="1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x v="1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x v="2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x v="1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x v="0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x v="2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x v="1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x v="1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x v="0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x v="0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x v="1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x v="1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x v="1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x v="0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x v="2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x v="2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x v="0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x v="2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x v="1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x v="1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x v="2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x v="0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x v="1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x v="0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x v="0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x v="0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x v="2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x v="0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x v="1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x v="0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x v="2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x v="0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x v="2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x v="0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x v="2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x v="1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x v="1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x v="1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x v="0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x v="0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x v="1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x v="1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x v="0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x v="0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x v="2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x v="0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x v="0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x v="1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x v="0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x v="2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x v="2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x v="1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x v="0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x v="1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x v="1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x v="0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x v="1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x v="1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x v="0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x v="0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x v="1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x v="0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x v="2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x v="0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x v="0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x v="1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x v="1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x v="1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x v="0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x v="2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x v="2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x v="0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x v="2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x v="0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x v="2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x v="2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x v="0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x v="1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x v="1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x v="1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x v="1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x v="0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x v="1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x v="0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x v="0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x v="1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x v="0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x v="0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x v="1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x v="2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x v="2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x v="1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x v="0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x v="1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x v="2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x v="0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x v="1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x v="1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x v="1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x v="1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x v="2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x v="1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x v="1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x v="1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x v="1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x v="1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x v="1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x v="0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x v="1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x v="0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x v="0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x v="1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x v="1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x v="0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x v="0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x v="1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x v="0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x v="0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x v="0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x v="0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x v="0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x v="1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x v="2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x v="0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x v="0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x v="2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x v="0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x v="2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x v="0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x v="1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x v="0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x v="1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x v="1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x v="1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x v="0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x v="1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x v="1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x v="1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x v="1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x v="1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x v="1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x v="2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x v="2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x v="2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x v="0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x v="0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x v="2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x v="0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x v="1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x v="1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x v="2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x v="1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x v="2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x v="0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x v="0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x v="0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x v="1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x v="2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x v="0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x v="1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x v="0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x v="1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x v="0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x v="1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x v="2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x v="1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x v="2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x v="2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x v="1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x v="0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x v="0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x v="1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x v="0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x v="1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x v="0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x v="2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x v="2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x v="1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x v="1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x v="1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x v="0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x v="2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x v="0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x v="1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x v="1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x v="1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x v="0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x v="0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x v="2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x v="0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x v="1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x v="0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x v="1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x v="0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x v="0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x v="0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x v="1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x v="0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x v="0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x v="1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x v="1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x v="1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x v="1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x v="0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x v="1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x v="1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x v="1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x v="1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x v="0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x v="2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x v="2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x v="2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x v="1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x v="1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x v="0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x v="2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x v="1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x v="1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x v="1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x v="1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x v="0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x v="1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x v="2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x v="1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x v="1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x v="1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x v="1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x v="0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x v="1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x v="1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x v="1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x v="1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x v="0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x v="0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x v="0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x v="0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x v="1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x v="2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x v="1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x v="1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x v="1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x v="0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x v="1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x v="1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x v="1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x v="2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x v="1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x v="0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x v="1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x v="1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x v="1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x v="1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x v="2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x v="1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x v="0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x v="1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x v="0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x v="1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x v="2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x v="1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x v="1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x v="2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x v="1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x v="2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x v="0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x v="0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x v="1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x v="2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x v="1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x v="1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x v="1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x v="0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x v="2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x v="1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x v="1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x v="1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x v="0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x v="1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x v="1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x v="2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x v="0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x v="1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x v="0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x v="0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x v="0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x v="1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x v="2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x v="1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x v="1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x v="2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x v="0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x v="2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x v="0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x v="1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x v="1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x v="2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x v="1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x v="1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x v="0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x v="1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x v="2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x v="2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x v="2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x v="1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x v="2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x v="0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x v="2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x v="0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x v="0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x v="0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x v="2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x v="1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x v="2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x v="0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x v="1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x v="1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x v="1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x v="0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x v="0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x v="2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x v="1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x v="2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x v="1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x v="2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x v="1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x v="2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x v="1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x v="0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x v="1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x v="1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x v="0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x v="1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x v="0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x v="1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x v="1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x v="1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x v="1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x v="0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x v="1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x v="1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x v="1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x v="1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x v="2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x v="0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x v="1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x v="1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x v="1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x v="2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x v="2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x v="0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x v="0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x v="0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x v="1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x v="1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x v="0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x v="1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x v="0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x v="1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x v="2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x v="1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x v="0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x v="0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x v="0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x v="2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x v="1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x v="0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x v="0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x v="0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x v="1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x v="1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x v="2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x v="1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x v="0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x v="1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x v="1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x v="2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x v="1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x v="2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x v="2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x v="2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x v="1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x v="0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x v="0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x v="0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x v="1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x v="1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x v="1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x v="1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x v="1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x v="2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x v="1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x v="2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x v="2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x v="0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x v="1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x v="1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x v="0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x v="0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x v="1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x v="1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x v="2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x v="2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x v="1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x v="0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x v="2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x v="0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x v="0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x v="2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x v="0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x v="1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x v="1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x v="2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x v="1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x v="2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x v="1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x v="2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x v="2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x v="1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x v="1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x v="1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x v="1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x v="0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x v="1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x v="0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x v="1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x v="2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x v="1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x v="1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x v="1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x v="0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x v="1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x v="0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x v="1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x v="0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x v="2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x v="2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x v="2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x v="0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x v="0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x v="2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x v="1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x v="1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x v="1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x v="1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x v="0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x v="1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x v="1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x v="2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x v="1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x v="1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x v="0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x v="0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x v="1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x v="2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x v="1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x v="0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x v="1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x v="1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x v="1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x v="0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x v="2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x v="1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x v="0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x v="2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x v="1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x v="1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x v="0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x v="1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x v="1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x v="1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x v="2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x v="1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x v="2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x v="1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x v="0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x v="0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x v="1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x v="0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x v="1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x v="1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x v="1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x v="0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x v="1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x v="1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x v="1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x v="2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x v="1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x v="0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x v="2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x v="1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x v="2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x v="1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x v="1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x v="0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x v="2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x v="1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x v="0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x v="2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x v="0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x v="1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x v="2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x v="1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x v="2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x v="0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x v="1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x v="0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x v="0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x v="1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x v="0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x v="1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x v="2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x v="1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x v="1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x v="1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x v="2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x v="0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x v="0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x v="1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x v="0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x v="0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x v="0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x v="1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x v="1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x v="1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x v="1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x v="2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x v="0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x v="2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x v="1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x v="1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x v="1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x v="2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x v="1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x v="1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x v="1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x v="0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x v="0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x v="1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x v="0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x v="1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x v="1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x v="0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x v="1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x v="1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x v="1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x v="2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x v="2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x v="0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x v="0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x v="0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x v="1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x v="1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x v="2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x v="2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x v="1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x v="1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x v="1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x v="1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x v="1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x v="2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x v="2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x v="0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x v="0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x v="1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x v="2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x v="1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x v="0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x v="0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x v="1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x v="1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x v="1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x v="1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x v="0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x v="2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x v="1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x v="0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x v="0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x v="1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x v="1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x v="1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x v="1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x v="1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47FCA-DA1E-47E1-B25D-5B395FADC6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5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Items count="1">
    <i/>
  </colItems>
  <dataFields count="1">
    <dataField name="Average of MonthlyIncome" fld="18" subtotal="average" baseField="4" baseItem="0" numFmtId="2"/>
  </dataFields>
  <formats count="1">
    <format dxfId="1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84EC7-CD92-4C0A-AB9F-AEAB7CB590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Marital Status">
  <location ref="A3:E8" firstHeaderRow="1" firstDataRow="2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EmployeeNumber" fld="9" subtotal="count" baseField="4" baseItem="1" numFmtId="164"/>
  </dataFields>
  <formats count="1">
    <format dxfId="0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C0150-C596-4000-974C-F2EBF87638E4}" name="Table1" displayName="Table1" ref="A1:AI1471" totalsRowShown="0">
  <autoFilter ref="A1:AI1471" xr:uid="{E94C0150-C596-4000-974C-F2EBF87638E4}"/>
  <tableColumns count="35">
    <tableColumn id="1" xr3:uid="{8807DF48-1A1A-45AD-AE32-43B10DF74CD9}" name="Age"/>
    <tableColumn id="2" xr3:uid="{29DA1A7C-BFF1-473B-9AC7-041AFD8E17A2}" name="Attrition"/>
    <tableColumn id="3" xr3:uid="{1ECAF9A5-62D5-48D7-B5CD-147A604382F8}" name="BusinessTravel"/>
    <tableColumn id="4" xr3:uid="{51F6EBE6-7E6C-4CDB-AE10-4B73C3D53E97}" name="DailyRate"/>
    <tableColumn id="5" xr3:uid="{A77FB50D-D222-484D-AE0B-E1D7A20E9F8F}" name="Department"/>
    <tableColumn id="6" xr3:uid="{626E49EE-9F4B-44C1-80D6-320A6F21B10C}" name="DistanceFromHome"/>
    <tableColumn id="7" xr3:uid="{D483F11F-13F0-459B-8053-D7644A8BCA85}" name="Education"/>
    <tableColumn id="8" xr3:uid="{164E6F19-E79D-45B2-A320-93BA70C52394}" name="EducationField"/>
    <tableColumn id="9" xr3:uid="{E8D42ADB-9A10-4E44-8650-4A083E173C2E}" name="EmployeeCount"/>
    <tableColumn id="10" xr3:uid="{E15CFAD5-A020-4F46-B1B2-D89981264CB0}" name="EmployeeNumber"/>
    <tableColumn id="11" xr3:uid="{FF530B77-E8FC-4207-928C-0F0CBCCFBCCD}" name="EnvironmentSatisfaction"/>
    <tableColumn id="12" xr3:uid="{AD567947-8D55-4FBB-B7D5-D1CF9C609ECD}" name="Gender"/>
    <tableColumn id="13" xr3:uid="{B3527C46-6AF6-477E-96AE-F6AFBB24DB02}" name="HourlyRate"/>
    <tableColumn id="14" xr3:uid="{1EBEA6BD-113C-4EEE-8F94-701696566646}" name="JobInvolvement"/>
    <tableColumn id="15" xr3:uid="{694BAC20-CCAE-4865-AF16-C0968031EAC8}" name="JobLevel"/>
    <tableColumn id="16" xr3:uid="{6EB4781C-3781-4B43-9E97-3540BB508051}" name="JobRole"/>
    <tableColumn id="17" xr3:uid="{94553206-AD48-42D4-A21D-FEE830431B92}" name="JobSatisfaction"/>
    <tableColumn id="18" xr3:uid="{304B4900-11F4-4511-8ED0-BAEB4DA7EB8D}" name="MaritalStatus"/>
    <tableColumn id="19" xr3:uid="{58492163-5DDC-4B74-A931-27A63E50568C}" name="MonthlyIncome"/>
    <tableColumn id="20" xr3:uid="{1D2D7B36-30EB-4818-A0C8-9243E04516CE}" name="MonthlyRate"/>
    <tableColumn id="21" xr3:uid="{131E12CF-2C97-4348-9407-73A0BAF8E50B}" name="NumCompaniesWorked"/>
    <tableColumn id="22" xr3:uid="{E67FABC2-448B-4B29-956F-09AD39871BCE}" name="Over18"/>
    <tableColumn id="23" xr3:uid="{98777D86-F56B-431B-B186-5D919ACE59F5}" name="OverTime"/>
    <tableColumn id="24" xr3:uid="{FD383204-B712-4E8C-B318-219A8E80F746}" name="PercentSalaryHike"/>
    <tableColumn id="25" xr3:uid="{7BB9190E-EA26-4737-AB00-CDDEDA6C3733}" name="PerformanceRating"/>
    <tableColumn id="26" xr3:uid="{0D5B808D-0E3A-4805-82B2-77E4001E201E}" name="RelationshipSatisfaction"/>
    <tableColumn id="27" xr3:uid="{36556DA7-5385-482E-813B-84566D01103F}" name="StandardHours"/>
    <tableColumn id="28" xr3:uid="{B1482EDA-319A-4A31-84B0-B93B912D2A8C}" name="StockOptionLevel"/>
    <tableColumn id="29" xr3:uid="{9B10D919-AFF3-4933-A008-A961C1A88293}" name="TotalWorkingYears"/>
    <tableColumn id="30" xr3:uid="{C4AC0FAD-EC34-4B22-9079-E392D93B3DED}" name="TrainingTimesLastYear"/>
    <tableColumn id="31" xr3:uid="{4C2CFF6E-9A4A-49AB-951F-BD4C5D39B213}" name="WorkLifeBalance"/>
    <tableColumn id="32" xr3:uid="{9A82CD86-204B-4850-A44D-3605FD69143E}" name="YearsAtCompany"/>
    <tableColumn id="33" xr3:uid="{0C02E1AC-E578-4A81-8F04-8B42FCD79F41}" name="YearsInCurrentRole"/>
    <tableColumn id="34" xr3:uid="{BD9594C4-C8DB-45E5-99DF-175E49544870}" name="YearsSinceLastPromotion"/>
    <tableColumn id="35" xr3:uid="{D66E987A-051A-49DB-AD93-66554B907E63}" name="YearsWithCurrManag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topLeftCell="A1456" workbookViewId="0">
      <selection activeCell="F12" sqref="F12"/>
    </sheetView>
  </sheetViews>
  <sheetFormatPr defaultRowHeight="15" x14ac:dyDescent="0.25"/>
  <cols>
    <col min="1" max="1" width="6.42578125" bestFit="1" customWidth="1"/>
    <col min="2" max="2" width="10.140625" bestFit="1" customWidth="1"/>
    <col min="3" max="3" width="15.5703125" bestFit="1" customWidth="1"/>
    <col min="4" max="4" width="11.140625" bestFit="1" customWidth="1"/>
    <col min="5" max="5" width="21.85546875" bestFit="1" customWidth="1"/>
    <col min="6" max="6" width="19.85546875" bestFit="1" customWidth="1"/>
    <col min="7" max="7" width="11.5703125" bestFit="1" customWidth="1"/>
    <col min="8" max="8" width="15.5703125" bestFit="1" customWidth="1"/>
    <col min="9" max="9" width="16.85546875" bestFit="1" customWidth="1"/>
    <col min="10" max="10" width="18.5703125" bestFit="1" customWidth="1"/>
    <col min="11" max="11" width="24.140625" bestFit="1" customWidth="1"/>
    <col min="12" max="12" width="9.42578125" bestFit="1" customWidth="1"/>
    <col min="13" max="13" width="12.5703125" bestFit="1" customWidth="1"/>
    <col min="14" max="14" width="16.85546875" bestFit="1" customWidth="1"/>
    <col min="15" max="15" width="10.42578125" bestFit="1" customWidth="1"/>
    <col min="16" max="16" width="22.85546875" bestFit="1" customWidth="1"/>
    <col min="17" max="17" width="16" bestFit="1" customWidth="1"/>
    <col min="18" max="18" width="14.42578125" bestFit="1" customWidth="1"/>
    <col min="19" max="19" width="16.85546875" bestFit="1" customWidth="1"/>
    <col min="20" max="20" width="14.140625" bestFit="1" customWidth="1"/>
    <col min="21" max="21" width="23.5703125" bestFit="1" customWidth="1"/>
    <col min="22" max="22" width="9.140625" bestFit="1" customWidth="1"/>
    <col min="23" max="23" width="11.42578125" bestFit="1" customWidth="1"/>
    <col min="24" max="24" width="18.5703125" bestFit="1" customWidth="1"/>
    <col min="25" max="25" width="19.5703125" bestFit="1" customWidth="1"/>
    <col min="26" max="26" width="23.5703125" bestFit="1" customWidth="1"/>
    <col min="27" max="27" width="15.85546875" bestFit="1" customWidth="1"/>
    <col min="28" max="28" width="18.140625" bestFit="1" customWidth="1"/>
    <col min="29" max="29" width="19.140625" bestFit="1" customWidth="1"/>
    <col min="30" max="30" width="22.140625" bestFit="1" customWidth="1"/>
    <col min="31" max="31" width="17.42578125" bestFit="1" customWidth="1"/>
    <col min="32" max="32" width="17.85546875" bestFit="1" customWidth="1"/>
    <col min="33" max="33" width="19.5703125" bestFit="1" customWidth="1"/>
    <col min="34" max="34" width="24.85546875" bestFit="1" customWidth="1"/>
    <col min="35" max="35" width="23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4E9F-9A8A-4BAF-A898-01CA5F7046D8}">
  <dimension ref="B1:B40"/>
  <sheetViews>
    <sheetView tabSelected="1" workbookViewId="0">
      <selection activeCell="B4" sqref="B4"/>
    </sheetView>
  </sheetViews>
  <sheetFormatPr defaultRowHeight="15" x14ac:dyDescent="0.25"/>
  <cols>
    <col min="1" max="1" width="8.85546875" customWidth="1"/>
    <col min="2" max="2" width="96.85546875" bestFit="1" customWidth="1"/>
    <col min="3" max="3" width="8.85546875" customWidth="1"/>
  </cols>
  <sheetData>
    <row r="1" spans="2:2" ht="15.75" thickBot="1" x14ac:dyDescent="0.3"/>
    <row r="2" spans="2:2" ht="23.25" x14ac:dyDescent="0.35">
      <c r="B2" s="7" t="s">
        <v>62</v>
      </c>
    </row>
    <row r="3" spans="2:2" ht="15.75" x14ac:dyDescent="0.25">
      <c r="B3" s="2" t="s">
        <v>63</v>
      </c>
    </row>
    <row r="4" spans="2:2" ht="18.75" x14ac:dyDescent="0.3">
      <c r="B4" s="5">
        <f>COUNTA(Dataset!A2:A1471)</f>
        <v>1470</v>
      </c>
    </row>
    <row r="5" spans="2:2" x14ac:dyDescent="0.25">
      <c r="B5" s="8"/>
    </row>
    <row r="6" spans="2:2" ht="15.75" x14ac:dyDescent="0.25">
      <c r="B6" s="2" t="s">
        <v>64</v>
      </c>
    </row>
    <row r="7" spans="2:2" ht="18.75" x14ac:dyDescent="0.3">
      <c r="B7" s="5">
        <f>SUM(Dataset!S:S)</f>
        <v>9559309</v>
      </c>
    </row>
    <row r="8" spans="2:2" x14ac:dyDescent="0.25">
      <c r="B8" s="8"/>
    </row>
    <row r="9" spans="2:2" ht="15.75" x14ac:dyDescent="0.25">
      <c r="B9" s="2" t="s">
        <v>65</v>
      </c>
    </row>
    <row r="10" spans="2:2" ht="18.75" x14ac:dyDescent="0.3">
      <c r="B10" s="6">
        <f>AVERAGE(Dataset!A:A)</f>
        <v>36.923809523809524</v>
      </c>
    </row>
    <row r="11" spans="2:2" x14ac:dyDescent="0.25">
      <c r="B11" s="8"/>
    </row>
    <row r="12" spans="2:2" ht="15.75" thickBot="1" x14ac:dyDescent="0.3">
      <c r="B12" s="1"/>
    </row>
    <row r="15" spans="2:2" ht="15.75" thickBot="1" x14ac:dyDescent="0.3"/>
    <row r="16" spans="2:2" ht="23.25" x14ac:dyDescent="0.35">
      <c r="B16" s="7" t="s">
        <v>66</v>
      </c>
    </row>
    <row r="17" spans="2:2" ht="15.75" x14ac:dyDescent="0.25">
      <c r="B17" s="2" t="s">
        <v>67</v>
      </c>
    </row>
    <row r="18" spans="2:2" ht="18.75" x14ac:dyDescent="0.3">
      <c r="B18" s="5">
        <f>COUNTIF(Dataset!B:B, "Yes")</f>
        <v>237</v>
      </c>
    </row>
    <row r="19" spans="2:2" x14ac:dyDescent="0.25">
      <c r="B19" s="8"/>
    </row>
    <row r="20" spans="2:2" ht="15.75" x14ac:dyDescent="0.25">
      <c r="B20" s="2" t="s">
        <v>68</v>
      </c>
    </row>
    <row r="21" spans="2:2" ht="18.75" x14ac:dyDescent="0.3">
      <c r="B21" s="5">
        <f>SUMIF(Dataset!E:E, "Sales", Dataset!S:S)</f>
        <v>3103791</v>
      </c>
    </row>
    <row r="22" spans="2:2" x14ac:dyDescent="0.25">
      <c r="B22" s="8"/>
    </row>
    <row r="23" spans="2:2" ht="15.75" x14ac:dyDescent="0.25">
      <c r="B23" s="2" t="s">
        <v>69</v>
      </c>
    </row>
    <row r="24" spans="2:2" ht="18.75" x14ac:dyDescent="0.3">
      <c r="B24" s="6">
        <f>AVERAGEIF(Dataset!R:R, "Married", Dataset!A:A)</f>
        <v>37.757800891530458</v>
      </c>
    </row>
    <row r="25" spans="2:2" x14ac:dyDescent="0.25">
      <c r="B25" s="8"/>
    </row>
    <row r="26" spans="2:2" ht="15.75" thickBot="1" x14ac:dyDescent="0.3">
      <c r="B26" s="1"/>
    </row>
    <row r="29" spans="2:2" ht="15.75" thickBot="1" x14ac:dyDescent="0.3"/>
    <row r="30" spans="2:2" ht="23.25" x14ac:dyDescent="0.35">
      <c r="B30" s="7" t="s">
        <v>70</v>
      </c>
    </row>
    <row r="31" spans="2:2" ht="31.5" x14ac:dyDescent="0.25">
      <c r="B31" s="3" t="s">
        <v>71</v>
      </c>
    </row>
    <row r="32" spans="2:2" ht="18.75" x14ac:dyDescent="0.3">
      <c r="B32" s="5">
        <f>COUNTIFS(Dataset!B:B, "Yes", Dataset!E:E, "Research &amp; Development")</f>
        <v>133</v>
      </c>
    </row>
    <row r="33" spans="2:2" x14ac:dyDescent="0.25">
      <c r="B33" s="8"/>
    </row>
    <row r="34" spans="2:2" ht="31.5" x14ac:dyDescent="0.25">
      <c r="B34" s="4" t="s">
        <v>72</v>
      </c>
    </row>
    <row r="35" spans="2:2" ht="18.75" x14ac:dyDescent="0.3">
      <c r="B35" s="5">
        <f>SUMIFS(Dataset!S:S, Dataset!R:R, "Single", Dataset!Q:Q, 4)</f>
        <v>913118</v>
      </c>
    </row>
    <row r="36" spans="2:2" x14ac:dyDescent="0.25">
      <c r="B36" s="8"/>
    </row>
    <row r="37" spans="2:2" ht="15.75" x14ac:dyDescent="0.25">
      <c r="B37" s="2" t="s">
        <v>73</v>
      </c>
    </row>
    <row r="38" spans="2:2" ht="18.75" x14ac:dyDescent="0.3">
      <c r="B38" s="6">
        <f>AVERAGEIFS(Dataset!A:A, Dataset!G:G, 3, Dataset!P:P, "Manager")</f>
        <v>46.65</v>
      </c>
    </row>
    <row r="39" spans="2:2" x14ac:dyDescent="0.25">
      <c r="B39" s="8"/>
    </row>
    <row r="40" spans="2:2" ht="15.75" thickBot="1" x14ac:dyDescent="0.3">
      <c r="B4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371E-F996-4FB2-9602-D9D316A83F3C}">
  <dimension ref="A3:B18"/>
  <sheetViews>
    <sheetView workbookViewId="0">
      <selection activeCell="A10" activeCellId="1" sqref="A5:A6 A8:A13 A15:A17"/>
      <pivotSelection pane="bottomRight" showHeader="1" axis="axisRow" dimension="1" activeRow="9" previousRow="9" click="1" r:id="rId1">
        <pivotArea dataOnly="0" labelOnly="1" fieldPosition="0">
          <references count="1">
            <reference field="15" count="0"/>
          </references>
        </pivotArea>
      </pivotSelection>
    </sheetView>
  </sheetViews>
  <sheetFormatPr defaultRowHeight="15" x14ac:dyDescent="0.25"/>
  <cols>
    <col min="1" max="1" width="26.85546875" bestFit="1" customWidth="1"/>
    <col min="2" max="2" width="23.42578125" bestFit="1" customWidth="1"/>
  </cols>
  <sheetData>
    <row r="3" spans="1:2" x14ac:dyDescent="0.25">
      <c r="A3" s="9" t="s">
        <v>74</v>
      </c>
      <c r="B3" t="s">
        <v>76</v>
      </c>
    </row>
    <row r="4" spans="1:2" x14ac:dyDescent="0.25">
      <c r="A4" s="10" t="s">
        <v>61</v>
      </c>
      <c r="B4" s="11">
        <v>6654.5079365079364</v>
      </c>
    </row>
    <row r="5" spans="1:2" x14ac:dyDescent="0.25">
      <c r="A5" s="12" t="s">
        <v>61</v>
      </c>
      <c r="B5" s="11">
        <v>4235.75</v>
      </c>
    </row>
    <row r="6" spans="1:2" x14ac:dyDescent="0.25">
      <c r="A6" s="12" t="s">
        <v>56</v>
      </c>
      <c r="B6" s="11">
        <v>18088.636363636364</v>
      </c>
    </row>
    <row r="7" spans="1:2" x14ac:dyDescent="0.25">
      <c r="A7" s="10" t="s">
        <v>45</v>
      </c>
      <c r="B7" s="11">
        <v>6281.2528616024974</v>
      </c>
    </row>
    <row r="8" spans="1:2" x14ac:dyDescent="0.25">
      <c r="A8" s="12" t="s">
        <v>54</v>
      </c>
      <c r="B8" s="11">
        <v>7528.7633587786258</v>
      </c>
    </row>
    <row r="9" spans="1:2" x14ac:dyDescent="0.25">
      <c r="A9" s="12" t="s">
        <v>50</v>
      </c>
      <c r="B9" s="11">
        <v>3237.169884169884</v>
      </c>
    </row>
    <row r="10" spans="1:2" x14ac:dyDescent="0.25">
      <c r="A10" s="12" t="s">
        <v>56</v>
      </c>
      <c r="B10" s="11">
        <v>17130.333333333332</v>
      </c>
    </row>
    <row r="11" spans="1:2" x14ac:dyDescent="0.25">
      <c r="A11" s="12" t="s">
        <v>53</v>
      </c>
      <c r="B11" s="11">
        <v>7295.1379310344828</v>
      </c>
    </row>
    <row r="12" spans="1:2" x14ac:dyDescent="0.25">
      <c r="A12" s="12" t="s">
        <v>58</v>
      </c>
      <c r="B12" s="11">
        <v>16033.55</v>
      </c>
    </row>
    <row r="13" spans="1:2" x14ac:dyDescent="0.25">
      <c r="A13" s="12" t="s">
        <v>47</v>
      </c>
      <c r="B13" s="11">
        <v>3239.972602739726</v>
      </c>
    </row>
    <row r="14" spans="1:2" x14ac:dyDescent="0.25">
      <c r="A14" s="10" t="s">
        <v>37</v>
      </c>
      <c r="B14" s="11">
        <v>6959.17264573991</v>
      </c>
    </row>
    <row r="15" spans="1:2" x14ac:dyDescent="0.25">
      <c r="A15" s="12" t="s">
        <v>56</v>
      </c>
      <c r="B15" s="11">
        <v>16986.972972972973</v>
      </c>
    </row>
    <row r="16" spans="1:2" x14ac:dyDescent="0.25">
      <c r="A16" s="12" t="s">
        <v>40</v>
      </c>
      <c r="B16" s="11">
        <v>6924.2791411042945</v>
      </c>
    </row>
    <row r="17" spans="1:2" x14ac:dyDescent="0.25">
      <c r="A17" s="12" t="s">
        <v>57</v>
      </c>
      <c r="B17" s="11">
        <v>2626</v>
      </c>
    </row>
    <row r="18" spans="1:2" x14ac:dyDescent="0.25">
      <c r="A18" s="10" t="s">
        <v>75</v>
      </c>
      <c r="B18" s="11">
        <v>6502.931292517007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50FD-74D7-4DEE-83CD-1E5EC6AC7EA9}">
  <dimension ref="A3:E8"/>
  <sheetViews>
    <sheetView workbookViewId="0">
      <selection activeCell="E16" sqref="E16"/>
    </sheetView>
  </sheetViews>
  <sheetFormatPr defaultRowHeight="15" x14ac:dyDescent="0.25"/>
  <cols>
    <col min="1" max="1" width="23.85546875" bestFit="1" customWidth="1"/>
    <col min="2" max="2" width="14.85546875" bestFit="1" customWidth="1"/>
    <col min="3" max="3" width="7.5703125" bestFit="1" customWidth="1"/>
    <col min="4" max="4" width="5.5703125" bestFit="1" customWidth="1"/>
    <col min="5" max="5" width="10.7109375" bestFit="1" customWidth="1"/>
  </cols>
  <sheetData>
    <row r="3" spans="1:5" x14ac:dyDescent="0.25">
      <c r="A3" s="9" t="s">
        <v>78</v>
      </c>
      <c r="B3" s="9" t="s">
        <v>77</v>
      </c>
    </row>
    <row r="4" spans="1:5" x14ac:dyDescent="0.25">
      <c r="A4" s="9" t="s">
        <v>4</v>
      </c>
      <c r="B4" t="s">
        <v>52</v>
      </c>
      <c r="C4" t="s">
        <v>48</v>
      </c>
      <c r="D4" t="s">
        <v>41</v>
      </c>
      <c r="E4" t="s">
        <v>75</v>
      </c>
    </row>
    <row r="5" spans="1:5" x14ac:dyDescent="0.25">
      <c r="A5" s="10" t="s">
        <v>61</v>
      </c>
      <c r="B5" s="13">
        <v>16</v>
      </c>
      <c r="C5" s="13">
        <v>34</v>
      </c>
      <c r="D5" s="13">
        <v>13</v>
      </c>
      <c r="E5" s="13">
        <v>63</v>
      </c>
    </row>
    <row r="6" spans="1:5" x14ac:dyDescent="0.25">
      <c r="A6" s="10" t="s">
        <v>45</v>
      </c>
      <c r="B6" s="13">
        <v>224</v>
      </c>
      <c r="C6" s="13">
        <v>433</v>
      </c>
      <c r="D6" s="13">
        <v>304</v>
      </c>
      <c r="E6" s="13">
        <v>961</v>
      </c>
    </row>
    <row r="7" spans="1:5" x14ac:dyDescent="0.25">
      <c r="A7" s="10" t="s">
        <v>37</v>
      </c>
      <c r="B7" s="13">
        <v>87</v>
      </c>
      <c r="C7" s="13">
        <v>206</v>
      </c>
      <c r="D7" s="13">
        <v>153</v>
      </c>
      <c r="E7" s="13">
        <v>446</v>
      </c>
    </row>
    <row r="8" spans="1:5" x14ac:dyDescent="0.25">
      <c r="A8" s="10" t="s">
        <v>75</v>
      </c>
      <c r="B8" s="13">
        <v>327</v>
      </c>
      <c r="C8" s="13">
        <v>673</v>
      </c>
      <c r="D8" s="13">
        <v>470</v>
      </c>
      <c r="E8" s="13">
        <v>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Dataset</vt:lpstr>
      <vt:lpstr>ex2</vt:lpstr>
      <vt:lpstr>Pivot Table 1</vt:lpstr>
      <vt:lpstr>Pivot Table 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savas</cp:lastModifiedBy>
  <dcterms:created xsi:type="dcterms:W3CDTF">2023-09-28T11:42:15Z</dcterms:created>
  <dcterms:modified xsi:type="dcterms:W3CDTF">2025-04-30T12:57:23Z</dcterms:modified>
  <cp:category/>
</cp:coreProperties>
</file>